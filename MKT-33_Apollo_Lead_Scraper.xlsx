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ig" sheetId="3" state="visible" r:id="rId3"/>
  </sheets>
  <definedNames>
    <definedName name="_xlnm._FilterDatabase" localSheetId="0" hidden="1">'Leads'!$A$1:$R$1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C3E50"/>
      <sz val="9"/>
    </font>
    <font>
      <name val="Arial"/>
      <b val="1"/>
      <color rgb="002E86C1"/>
      <sz val="9"/>
    </font>
    <font>
      <name val="Arial"/>
      <b val="1"/>
      <color rgb="00FFFFFF"/>
      <sz val="9"/>
    </font>
    <font>
      <name val="Arial"/>
      <b val="1"/>
      <color rgb="00D4AC0D"/>
      <sz val="9"/>
    </font>
    <font>
      <name val="Arial"/>
      <b val="1"/>
      <color rgb="0027AE60"/>
      <sz val="9"/>
    </font>
    <font>
      <name val="Arial"/>
      <b val="1"/>
      <color rgb="00FFFFFF"/>
      <sz val="14"/>
    </font>
    <font>
      <name val="Arial"/>
      <sz val="9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E94560"/>
      </patternFill>
    </fill>
    <fill>
      <patternFill patternType="solid">
        <fgColor rgb="00F0F4F8"/>
      </patternFill>
    </fill>
    <fill>
      <patternFill patternType="solid">
        <fgColor rgb="00FEF9E7"/>
      </patternFill>
    </fill>
    <fill>
      <patternFill patternType="solid">
        <fgColor rgb="00F39C12"/>
      </patternFill>
    </fill>
    <fill>
      <patternFill patternType="solid">
        <fgColor rgb="00E9F7EF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7" fillId="2" borderId="0" pivotButton="0" quotePrefix="0" xfId="0"/>
    <xf numFmtId="0" fontId="1" fillId="1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0" fontId="10" fillId="2" borderId="0" pivotButton="0" quotePrefix="0" xfId="0"/>
    <xf numFmtId="0" fontId="1" fillId="10" borderId="1" pivotButton="0" quotePrefix="0" xfId="0"/>
    <xf numFmtId="0" fontId="11" fillId="3" borderId="1" pivotButton="0" quotePrefix="0" xfId="0"/>
    <xf numFmtId="0" fontId="8" fillId="3" borderId="1" pivotButton="0" quotePrefix="0" xfId="0"/>
    <xf numFmtId="0" fontId="11" fillId="6" borderId="1" pivotButton="0" quotePrefix="0" xfId="0"/>
    <xf numFmtId="0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22" customWidth="1" min="4" max="4"/>
    <col width="20" customWidth="1" min="5" max="5"/>
    <col width="28" customWidth="1" min="6" max="6"/>
    <col width="30" customWidth="1" min="7" max="7"/>
    <col width="32" customWidth="1" min="8" max="8"/>
    <col width="18" customWidth="1" min="9" max="9"/>
    <col width="13" customWidth="1" min="10" max="10"/>
    <col width="12" customWidth="1" min="11" max="11"/>
    <col width="16" customWidth="1" min="12" max="12"/>
    <col width="14" customWidth="1" min="13" max="13"/>
    <col width="18" customWidth="1" min="14" max="14"/>
    <col width="22" customWidth="1" min="15" max="15"/>
    <col width="12" customWidth="1" min="16" max="16"/>
    <col width="13" customWidth="1" min="17" max="17"/>
    <col width="35" customWidth="1" min="18" max="18"/>
  </cols>
  <sheetData>
    <row r="1" ht="30" customHeight="1">
      <c r="A1" s="1" t="inlineStr">
        <is>
          <t>Nr.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Firma</t>
        </is>
      </c>
      <c r="E1" s="1" t="inlineStr">
        <is>
          <t>Position</t>
        </is>
      </c>
      <c r="F1" s="1" t="inlineStr">
        <is>
          <t>Website</t>
        </is>
      </c>
      <c r="G1" s="1" t="inlineStr">
        <is>
          <t>E-Mail</t>
        </is>
      </c>
      <c r="H1" s="1" t="inlineStr">
        <is>
          <t>LinkedIn</t>
        </is>
      </c>
      <c r="I1" s="1" t="inlineStr">
        <is>
          <t>Branche</t>
        </is>
      </c>
      <c r="J1" s="1" t="inlineStr">
        <is>
          <t>Mitarbeiter</t>
        </is>
      </c>
      <c r="K1" s="1" t="inlineStr">
        <is>
          <t>Region</t>
        </is>
      </c>
      <c r="L1" s="1" t="inlineStr">
        <is>
          <t>Status</t>
        </is>
      </c>
      <c r="M1" s="1" t="inlineStr">
        <is>
          <t>Kanal</t>
        </is>
      </c>
      <c r="N1" s="1" t="inlineStr">
        <is>
          <t>Letzte Aktion</t>
        </is>
      </c>
      <c r="O1" s="1" t="inlineStr">
        <is>
          <t>Nächster Schritt</t>
        </is>
      </c>
      <c r="P1" s="1" t="inlineStr">
        <is>
          <t>Priorität</t>
        </is>
      </c>
      <c r="Q1" s="1" t="inlineStr">
        <is>
          <t>Score (1–10)</t>
        </is>
      </c>
      <c r="R1" s="1" t="inlineStr">
        <is>
          <t>Notizen</t>
        </is>
      </c>
    </row>
    <row r="2" ht="22" customHeight="1">
      <c r="A2" s="2" t="n">
        <v>1</v>
      </c>
      <c r="B2" s="2" t="inlineStr">
        <is>
          <t>Max</t>
        </is>
      </c>
      <c r="C2" s="2" t="inlineStr">
        <is>
          <t>Müller</t>
        </is>
      </c>
      <c r="D2" s="2" t="inlineStr">
        <is>
          <t>Webdesign GmbH</t>
        </is>
      </c>
      <c r="E2" s="2" t="inlineStr">
        <is>
          <t>Inhaber</t>
        </is>
      </c>
      <c r="F2" s="2" t="inlineStr">
        <is>
          <t>webdesign-mueller.de</t>
        </is>
      </c>
      <c r="G2" s="2" t="inlineStr">
        <is>
          <t>max@webdesign-mueller.de</t>
        </is>
      </c>
      <c r="H2" s="2" t="inlineStr">
        <is>
          <t>linkedin.com/in/maxmueller</t>
        </is>
      </c>
      <c r="I2" s="2" t="inlineStr">
        <is>
          <t>Webdesign</t>
        </is>
      </c>
      <c r="J2" s="2" t="inlineStr">
        <is>
          <t>1-5</t>
        </is>
      </c>
      <c r="K2" s="2" t="inlineStr">
        <is>
          <t>DACH</t>
        </is>
      </c>
      <c r="L2" s="3" t="inlineStr">
        <is>
          <t>Neu</t>
        </is>
      </c>
      <c r="M2" s="2" t="inlineStr">
        <is>
          <t>Apollo/Apify</t>
        </is>
      </c>
      <c r="N2" s="2" t="inlineStr">
        <is>
          <t>2026-03-12</t>
        </is>
      </c>
      <c r="O2" s="2" t="inlineStr">
        <is>
          <t>E-Mail senden</t>
        </is>
      </c>
      <c r="P2" s="4" t="inlineStr">
        <is>
          <t>Hoch</t>
        </is>
      </c>
      <c r="Q2" s="2" t="n">
        <v>8</v>
      </c>
      <c r="R2" s="2" t="inlineStr">
        <is>
          <t>Zielgruppe: KMU, Referenzen vorhanden</t>
        </is>
      </c>
    </row>
    <row r="3" ht="22" customHeight="1">
      <c r="A3" s="5" t="n">
        <v>2</v>
      </c>
      <c r="B3" s="5" t="inlineStr">
        <is>
          <t>Anna</t>
        </is>
      </c>
      <c r="C3" s="5" t="inlineStr">
        <is>
          <t>Schmidt</t>
        </is>
      </c>
      <c r="D3" s="5" t="inlineStr">
        <is>
          <t>Digital Agentur Schmidt</t>
        </is>
      </c>
      <c r="E3" s="5" t="inlineStr">
        <is>
          <t>CEO</t>
        </is>
      </c>
      <c r="F3" s="5" t="inlineStr">
        <is>
          <t>da-schmidt.de</t>
        </is>
      </c>
      <c r="G3" s="5" t="inlineStr">
        <is>
          <t>anna@da-schmidt.de</t>
        </is>
      </c>
      <c r="H3" s="5" t="inlineStr">
        <is>
          <t>linkedin.com/in/annaschmidt</t>
        </is>
      </c>
      <c r="I3" s="5" t="inlineStr">
        <is>
          <t>Digitalagentur</t>
        </is>
      </c>
      <c r="J3" s="5" t="inlineStr">
        <is>
          <t>1-10</t>
        </is>
      </c>
      <c r="K3" s="5" t="inlineStr">
        <is>
          <t>DACH</t>
        </is>
      </c>
      <c r="L3" s="6" t="inlineStr">
        <is>
          <t>Kontaktiert</t>
        </is>
      </c>
      <c r="M3" s="5" t="inlineStr">
        <is>
          <t>Apollo/Apify</t>
        </is>
      </c>
      <c r="N3" s="5" t="inlineStr">
        <is>
          <t>2026-03-11</t>
        </is>
      </c>
      <c r="O3" s="5" t="inlineStr">
        <is>
          <t>Follow-up morgen</t>
        </is>
      </c>
      <c r="P3" s="7" t="inlineStr">
        <is>
          <t>Mittel</t>
        </is>
      </c>
      <c r="Q3" s="5" t="n">
        <v>6</v>
      </c>
      <c r="R3" s="5" t="inlineStr">
        <is>
          <t>Keine Antwort nach 1. Mail</t>
        </is>
      </c>
    </row>
    <row r="4" ht="22" customHeight="1">
      <c r="A4" s="2" t="n">
        <v>3</v>
      </c>
      <c r="B4" s="2" t="inlineStr">
        <is>
          <t>Tom</t>
        </is>
      </c>
      <c r="C4" s="2" t="inlineStr">
        <is>
          <t>Weber</t>
        </is>
      </c>
      <c r="D4" s="2" t="inlineStr">
        <is>
          <t>Freelance Tom</t>
        </is>
      </c>
      <c r="E4" s="2" t="inlineStr">
        <is>
          <t>Freelancer</t>
        </is>
      </c>
      <c r="F4" s="2" t="inlineStr">
        <is>
          <t>tomweber.dev</t>
        </is>
      </c>
      <c r="G4" s="2" t="inlineStr">
        <is>
          <t>tom@tomweber.dev</t>
        </is>
      </c>
      <c r="H4" s="2" t="inlineStr"/>
      <c r="I4" s="2" t="inlineStr">
        <is>
          <t>Webentwicklung</t>
        </is>
      </c>
      <c r="J4" s="2" t="inlineStr">
        <is>
          <t>1</t>
        </is>
      </c>
      <c r="K4" s="2" t="inlineStr">
        <is>
          <t>DACH</t>
        </is>
      </c>
      <c r="L4" s="8" t="inlineStr">
        <is>
          <t>Interessiert</t>
        </is>
      </c>
      <c r="M4" s="2" t="inlineStr">
        <is>
          <t>Apollo/Apify</t>
        </is>
      </c>
      <c r="N4" s="2" t="inlineStr">
        <is>
          <t>2026-03-10</t>
        </is>
      </c>
      <c r="O4" s="2" t="inlineStr">
        <is>
          <t>Demo-Call buchen</t>
        </is>
      </c>
      <c r="P4" s="4" t="inlineStr">
        <is>
          <t>Hoch</t>
        </is>
      </c>
      <c r="Q4" s="2" t="n">
        <v>9</v>
      </c>
      <c r="R4" s="2" t="inlineStr">
        <is>
          <t>Hat nach Pricing gefragt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9" t="inlineStr">
        <is>
          <t>📊 Lead Pipeline Dashboard</t>
        </is>
      </c>
    </row>
    <row r="3">
      <c r="A3" s="10" t="inlineStr">
        <is>
          <t>Status</t>
        </is>
      </c>
      <c r="B3" s="10" t="inlineStr">
        <is>
          <t>Anzahl</t>
        </is>
      </c>
      <c r="C3" s="10" t="inlineStr">
        <is>
          <t>Anteil %</t>
        </is>
      </c>
    </row>
    <row r="4">
      <c r="A4" s="11" t="inlineStr">
        <is>
          <t>Neu</t>
        </is>
      </c>
      <c r="B4" s="11">
        <f>COUNTIF(Leads!L:L,A4)</f>
        <v/>
      </c>
      <c r="C4" s="12">
        <f>IF(SUM(B4:B10)=0,0,B4/SUM(B$4:B$10))</f>
        <v/>
      </c>
    </row>
    <row r="5">
      <c r="A5" s="11" t="inlineStr">
        <is>
          <t>Kontaktiert</t>
        </is>
      </c>
      <c r="B5" s="11">
        <f>COUNTIF(Leads!L:L,A5)</f>
        <v/>
      </c>
      <c r="C5" s="12">
        <f>IF(SUM(B4:B10)=0,0,B5/SUM(B$4:B$10))</f>
        <v/>
      </c>
    </row>
    <row r="6">
      <c r="A6" s="11" t="inlineStr">
        <is>
          <t>Interessiert</t>
        </is>
      </c>
      <c r="B6" s="11">
        <f>COUNTIF(Leads!L:L,A6)</f>
        <v/>
      </c>
      <c r="C6" s="12">
        <f>IF(SUM(B4:B10)=0,0,B6/SUM(B$4:B$10))</f>
        <v/>
      </c>
    </row>
    <row r="7">
      <c r="A7" s="11" t="inlineStr">
        <is>
          <t>Termin</t>
        </is>
      </c>
      <c r="B7" s="11">
        <f>COUNTIF(Leads!L:L,A7)</f>
        <v/>
      </c>
      <c r="C7" s="12">
        <f>IF(SUM(B4:B10)=0,0,B7/SUM(B$4:B$10))</f>
        <v/>
      </c>
    </row>
    <row r="8">
      <c r="A8" s="11" t="inlineStr">
        <is>
          <t>Kunde</t>
        </is>
      </c>
      <c r="B8" s="11">
        <f>COUNTIF(Leads!L:L,A8)</f>
        <v/>
      </c>
      <c r="C8" s="12">
        <f>IF(SUM(B4:B10)=0,0,B8/SUM(B$4:B$10))</f>
        <v/>
      </c>
    </row>
    <row r="9">
      <c r="A9" s="11" t="inlineStr">
        <is>
          <t>Abgelehnt</t>
        </is>
      </c>
      <c r="B9" s="11">
        <f>COUNTIF(Leads!L:L,A9)</f>
        <v/>
      </c>
      <c r="C9" s="12">
        <f>IF(SUM(B4:B10)=0,0,B9/SUM(B$4:B$10))</f>
        <v/>
      </c>
    </row>
    <row r="10">
      <c r="A10" s="11" t="inlineStr">
        <is>
          <t>Kein Interesse</t>
        </is>
      </c>
      <c r="B10" s="11">
        <f>COUNTIF(Leads!L:L,A10)</f>
        <v/>
      </c>
      <c r="C10" s="12">
        <f>IF(SUM(B4:B10)=0,0,B10/SUM(B$4:B$10))</f>
        <v/>
      </c>
    </row>
    <row r="12">
      <c r="A12" s="13" t="inlineStr">
        <is>
          <t>Gesamt Leads:</t>
        </is>
      </c>
      <c r="B12" s="13">
        <f>COUNTA(Leads!A:A)-1</f>
        <v/>
      </c>
    </row>
    <row r="13">
      <c r="A13" s="13" t="inlineStr">
        <is>
          <t>Hoch-Priorität:</t>
        </is>
      </c>
      <c r="B13" s="13">
        <f>COUNTIF(Leads!P:P,"Hoch")</f>
        <v/>
      </c>
    </row>
    <row r="14">
      <c r="A14" s="13" t="inlineStr">
        <is>
          <t>Ø Score:</t>
        </is>
      </c>
      <c r="B14" s="14">
        <f>IFERROR(AVERAGEIF(Leads!Q:Q,"&gt;0"),0)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5" t="inlineStr">
        <is>
          <t>⚙️ Apollo Lead Scraper – Apify Konfiguration</t>
        </is>
      </c>
    </row>
    <row r="3" ht="20" customHeight="1">
      <c r="A3" s="16" t="inlineStr">
        <is>
          <t>SETTING</t>
        </is>
      </c>
      <c r="B3" s="16" t="inlineStr">
        <is>
          <t>WERT</t>
        </is>
      </c>
    </row>
    <row r="4" ht="20" customHeight="1">
      <c r="A4" s="17" t="inlineStr">
        <is>
          <t>Apify Actor</t>
        </is>
      </c>
      <c r="B4" s="18" t="inlineStr">
        <is>
          <t>apify/apollo-io-scraper</t>
        </is>
      </c>
    </row>
    <row r="5" ht="20" customHeight="1">
      <c r="A5" s="19" t="inlineStr">
        <is>
          <t>Target Industries</t>
        </is>
      </c>
      <c r="B5" s="20" t="inlineStr">
        <is>
          <t>Marketing, Web Design, Digital Agency</t>
        </is>
      </c>
    </row>
    <row r="6" ht="20" customHeight="1">
      <c r="A6" s="17" t="inlineStr">
        <is>
          <t>Region</t>
        </is>
      </c>
      <c r="B6" s="18" t="inlineStr">
        <is>
          <t>DE, AT, CH</t>
        </is>
      </c>
    </row>
    <row r="7" ht="20" customHeight="1">
      <c r="A7" s="19" t="inlineStr">
        <is>
          <t>Firmengröße (Mitarbeiter)</t>
        </is>
      </c>
      <c r="B7" s="20" t="inlineStr">
        <is>
          <t>1–10</t>
        </is>
      </c>
    </row>
    <row r="8" ht="20" customHeight="1">
      <c r="A8" s="17" t="inlineStr">
        <is>
          <t>Max Leads pro Run</t>
        </is>
      </c>
      <c r="B8" s="18" t="inlineStr">
        <is>
          <t>50</t>
        </is>
      </c>
    </row>
    <row r="9" ht="20" customHeight="1">
      <c r="A9" s="19" t="inlineStr">
        <is>
          <t>Output Format</t>
        </is>
      </c>
      <c r="B9" s="20" t="inlineStr">
        <is>
          <t>Google Sheets (via n8n)</t>
        </is>
      </c>
    </row>
    <row r="10" ht="20" customHeight="1">
      <c r="A10" s="17" t="inlineStr">
        <is>
          <t>OpenAI Model</t>
        </is>
      </c>
      <c r="B10" s="18" t="inlineStr">
        <is>
          <t>gpt-4o-mini</t>
        </is>
      </c>
    </row>
    <row r="11" ht="20" customHeight="1">
      <c r="A11" s="19" t="inlineStr">
        <is>
          <t>Ausführung</t>
        </is>
      </c>
      <c r="B11" s="20" t="inlineStr">
        <is>
          <t>Manuell / 1x pro Woche</t>
        </is>
      </c>
    </row>
    <row r="12" ht="20" customHeight="1">
      <c r="A12" s="17" t="inlineStr">
        <is>
          <t>n8n Webhook URL</t>
        </is>
      </c>
      <c r="B12" s="18" t="inlineStr">
        <is>
          <t>[DEIN n8n WEBHOOK HIER EINTRAGEN]</t>
        </is>
      </c>
    </row>
    <row r="13" ht="20" customHeight="1">
      <c r="A13" s="19" t="inlineStr">
        <is>
          <t>Google Sheet ID</t>
        </is>
      </c>
      <c r="B13" s="20" t="inlineStr">
        <is>
          <t>[SHEET ID AUS DER URL KOPIEREN]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2026-03-12T06:05:55Z</dcterms:created>
  <dcterms:modified xmlns:dcterms="http://purl.org/dc/terms/" xmlns:xsi="http://www.w3.org/2001/XMLSchema-instance" xsi:type="dcterms:W3CDTF">2026-03-12T06:05:55Z</dcterms:modified>
</cp:coreProperties>
</file>